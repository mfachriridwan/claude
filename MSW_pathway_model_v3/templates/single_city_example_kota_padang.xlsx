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_panduan" sheetId="1" state="visible" r:id="rId1"/>
    <sheet name="city_data" sheetId="2" state="visible" r:id="rId2"/>
    <sheet name="composition" sheetId="3" state="visible" r:id="rId3"/>
    <sheet name="local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B4" authorId="0" shapeId="0">
      <text>
        <t>Jamali = Java-Madura-Bali; Sumatera; Mahakam = East Kalimantan</t>
      </text>
    </comment>
    <comment ref="B13" authorId="0" shapeId="0">
      <text>
        <t>Leave blank to compute the distance from lat/lon to the nearest kiln in data/cement_kilns.csv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MSW recovery-pathway screening: one-city input template / Templat input satu kota</t>
        </is>
      </c>
    </row>
    <row r="2">
      <c r="A2" s="2" t="inlineStr"/>
    </row>
    <row r="3">
      <c r="A3" s="1" t="inlineStr">
        <is>
          <t>HOW TO FILL IN / CARA MENGISI</t>
        </is>
      </c>
    </row>
    <row r="4">
      <c r="A4" s="2" t="inlineStr">
        <is>
          <t>1. Sheet 'city_data': type your values in the yellow column 'value'. Grey column = example (Kota Padang, RIPS).</t>
        </is>
      </c>
    </row>
    <row r="5">
      <c r="A5" s="2" t="inlineStr">
        <is>
          <t xml:space="preserve">   Isi kolom kuning 'value'. Kolom abu-abu = contoh (Kota Padang, RIPS).</t>
        </is>
      </c>
    </row>
    <row r="6">
      <c r="A6" s="2" t="inlineStr">
        <is>
          <t>2. Sheet 'composition': wet-mass % per RIPS category for the domestic stream (required) and the non-domestic stream</t>
        </is>
      </c>
    </row>
    <row r="7">
      <c r="A7" s="2" t="inlineStr">
        <is>
          <t xml:space="preserve">   (optional). Leave a cell BLANK if the category is not reported; blank is never read as zero in the data,</t>
        </is>
      </c>
    </row>
    <row r="8">
      <c r="A8" s="2" t="inlineStr">
        <is>
          <t xml:space="preserve">   but a not-reported category gets zero share in the model (a stated assumption). The TOTAL row should be about 100.</t>
        </is>
      </c>
    </row>
    <row r="9">
      <c r="A9" s="2" t="inlineStr">
        <is>
          <t xml:space="preserve">   Isi % berat basah per kategori. Kosongkan bila tidak dilaporkan (bukan nol). Baris TOTAL sebaiknya sekitar 100.</t>
        </is>
      </c>
    </row>
    <row r="10">
      <c r="A10" s="2" t="inlineStr">
        <is>
          <t>3. Sheet 'local_parameters' (optional): if you have a local value (e.g. measured moisture, landfill cost, RDF price),</t>
        </is>
      </c>
    </row>
    <row r="11">
      <c r="A11" s="2" t="inlineStr">
        <is>
          <t xml:space="preserve">   type it in 'your_central' (and optionally 'your_low', 'your_high', 'your_source'). Blank rows keep the default.</t>
        </is>
      </c>
    </row>
    <row r="12">
      <c r="A12" s="2" t="inlineStr">
        <is>
          <t xml:space="preserve">   If only your_central is given, the default relative range is kept around your value.</t>
        </is>
      </c>
    </row>
    <row r="13">
      <c r="A13" s="2" t="inlineStr">
        <is>
          <t xml:space="preserve">   Opsional: isi nilai lokal Anda; baris kosong memakai nilai bawaan model.</t>
        </is>
      </c>
    </row>
    <row r="14">
      <c r="A14" s="2" t="inlineStr">
        <is>
          <t>4. Save as .xlsx (or as three .csv files with the same columns) and upload it in MSW_Single_City_Colab.ipynb.</t>
        </is>
      </c>
    </row>
    <row r="15">
      <c r="A15" s="2" t="inlineStr"/>
    </row>
    <row r="16">
      <c r="A16" s="1" t="inlineStr">
        <is>
          <t>RULES APPLIED BY THE MODEL / ATURAN MODEL</t>
        </is>
      </c>
    </row>
    <row r="17">
      <c r="A17" s="2" t="inlineStr">
        <is>
          <t>- Tonnage is projected once to 2025: Q2025 = Qt x (1 + g)^(2025 - t). Domestic and non-domestic use the same factor.</t>
        </is>
      </c>
    </row>
    <row r="18">
      <c r="A18" s="2" t="inlineStr">
        <is>
          <t>- Composition is normalised per stream and weighted by the 2025 tonnage of each stream.</t>
        </is>
      </c>
    </row>
    <row r="19">
      <c r="A19" s="2" t="inlineStr">
        <is>
          <t>- Either lat/lon of the planned site (nearest cement kiln is found) or the road distance to a kiln is needed.</t>
        </is>
      </c>
    </row>
    <row r="20">
      <c r="A20" s="2" t="inlineStr">
        <is>
          <t>- Options compared per tonne of mixed MSW at the facility gate in 2025: sanitary landfill + flare (SL), WtE (S1),</t>
        </is>
      </c>
    </row>
    <row r="21">
      <c r="A21" s="2" t="inlineStr">
        <is>
          <t xml:space="preserve">  RDF to cement kiln (S2), AD of food waste (S3), PHB from landfill gas (S4), RDF + AD (S5).</t>
        </is>
      </c>
    </row>
    <row r="22">
      <c r="A22" s="2" t="inlineStr">
        <is>
          <t>- Decision criterion: carbon-inclusive cost C + pG/1000 at fixed carbon values 0, 2, 25, 50, 100 USD/t CO2e.</t>
        </is>
      </c>
    </row>
    <row r="23">
      <c r="A23" s="2" t="inlineStr">
        <is>
          <t>- Screening level (ex ante): results show which options merit a feasibility study, not how a plant will perform.</t>
        </is>
      </c>
    </row>
    <row r="25">
      <c r="A25" s="3" t="inlineStr">
        <is>
          <t>Legend / Keterangan</t>
        </is>
      </c>
    </row>
    <row r="26">
      <c r="A26" s="4" t="inlineStr">
        <is>
          <t>yellow cell, blue text = your input / isian Anda</t>
        </is>
      </c>
    </row>
    <row r="27">
      <c r="A27" s="5" t="inlineStr">
        <is>
          <t>grey cell = example (Kota Padang) / contoh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9" customWidth="1" min="4" max="4"/>
    <col width="22" customWidth="1" min="5" max="5"/>
    <col width="60" customWidth="1" min="6" max="6"/>
    <col width="60" customWidth="1" min="7" max="7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required</t>
        </is>
      </c>
      <c r="E1" s="6" t="inlineStr">
        <is>
          <t>example_kota_padang</t>
        </is>
      </c>
      <c r="F1" s="6" t="inlineStr">
        <is>
          <t>description_en</t>
        </is>
      </c>
      <c r="G1" s="6" t="inlineStr">
        <is>
          <t>description_id</t>
        </is>
      </c>
    </row>
    <row r="2">
      <c r="A2" s="7" t="inlineStr">
        <is>
          <t>city_name</t>
        </is>
      </c>
      <c r="B2" s="8" t="inlineStr">
        <is>
          <t>Kota Padang</t>
        </is>
      </c>
      <c r="C2" s="7" t="inlineStr">
        <is>
          <t>-</t>
        </is>
      </c>
      <c r="D2" s="7" t="inlineStr">
        <is>
          <t>yes</t>
        </is>
      </c>
      <c r="E2" s="9" t="inlineStr">
        <is>
          <t>Kota Padang</t>
        </is>
      </c>
      <c r="F2" s="7" t="inlineStr">
        <is>
          <t>Name of the city or regency</t>
        </is>
      </c>
      <c r="G2" s="7" t="inlineStr">
        <is>
          <t>Nama kota/kabupaten</t>
        </is>
      </c>
    </row>
    <row r="3">
      <c r="A3" s="7" t="inlineStr">
        <is>
          <t>province</t>
        </is>
      </c>
      <c r="B3" s="8" t="inlineStr">
        <is>
          <t>Sumatera Barat</t>
        </is>
      </c>
      <c r="C3" s="7" t="inlineStr">
        <is>
          <t>-</t>
        </is>
      </c>
      <c r="D3" s="7" t="inlineStr">
        <is>
          <t>no</t>
        </is>
      </c>
      <c r="E3" s="9" t="inlineStr">
        <is>
          <t>Sumatera Barat</t>
        </is>
      </c>
      <c r="F3" s="7" t="inlineStr">
        <is>
          <t>Province</t>
        </is>
      </c>
      <c r="G3" s="7" t="inlineStr">
        <is>
          <t>Provinsi</t>
        </is>
      </c>
    </row>
    <row r="4">
      <c r="A4" s="7" t="inlineStr">
        <is>
          <t>grid_region</t>
        </is>
      </c>
      <c r="B4" s="8" t="inlineStr">
        <is>
          <t>Sumatera</t>
        </is>
      </c>
      <c r="C4" s="7" t="inlineStr">
        <is>
          <t>-</t>
        </is>
      </c>
      <c r="D4" s="7" t="inlineStr">
        <is>
          <t>yes</t>
        </is>
      </c>
      <c r="E4" s="9" t="inlineStr">
        <is>
          <t>Sumatera</t>
        </is>
      </c>
      <c r="F4" s="7" t="inlineStr">
        <is>
          <t>Electricity grid: Jamali, Sumatera or Mahakam</t>
        </is>
      </c>
      <c r="G4" s="7" t="inlineStr">
        <is>
          <t>Sistem listrik: Jamali, Sumatera, atau Mahakam</t>
        </is>
      </c>
    </row>
    <row r="5">
      <c r="A5" s="7" t="inlineStr">
        <is>
          <t>tonnage_total_tpd</t>
        </is>
      </c>
      <c r="B5" s="8" t="n">
        <v>647.5700000000001</v>
      </c>
      <c r="C5" s="7" t="inlineStr">
        <is>
          <t>t/day</t>
        </is>
      </c>
      <c r="D5" s="7" t="inlineStr">
        <is>
          <t>yes</t>
        </is>
      </c>
      <c r="E5" s="9" t="n">
        <v>647.5700000000001</v>
      </c>
      <c r="F5" s="7" t="inlineStr">
        <is>
          <t>Waste generated or delivered, wet weight (domestic + non-domestic)</t>
        </is>
      </c>
      <c r="G5" s="7" t="inlineStr">
        <is>
          <t>Timbulan/sampah yang diterima, berat basah (domestik + non-domestik)</t>
        </is>
      </c>
    </row>
    <row r="6">
      <c r="A6" s="7" t="inlineStr">
        <is>
          <t>tonnage_nondomestic_tpd</t>
        </is>
      </c>
      <c r="B6" s="8" t="n">
        <v>26.84</v>
      </c>
      <c r="C6" s="7" t="inlineStr">
        <is>
          <t>t/day</t>
        </is>
      </c>
      <c r="D6" s="7" t="inlineStr">
        <is>
          <t>no</t>
        </is>
      </c>
      <c r="E6" s="9" t="n">
        <v>26.84</v>
      </c>
      <c r="F6" s="7" t="inlineStr">
        <is>
          <t>Part of the total that is non-domestic (blank = 0 or not separated)</t>
        </is>
      </c>
      <c r="G6" s="7" t="inlineStr">
        <is>
          <t>Bagian non-domestik dari total (kosong = 0 atau tidak dipisah)</t>
        </is>
      </c>
    </row>
    <row r="7">
      <c r="A7" s="7" t="inlineStr">
        <is>
          <t>tonnage_year</t>
        </is>
      </c>
      <c r="B7" s="8" t="n">
        <v>2023</v>
      </c>
      <c r="C7" s="7" t="inlineStr">
        <is>
          <t>year</t>
        </is>
      </c>
      <c r="D7" s="7" t="inlineStr">
        <is>
          <t>yes</t>
        </is>
      </c>
      <c r="E7" s="9" t="n">
        <v>2023</v>
      </c>
      <c r="F7" s="7" t="inlineStr">
        <is>
          <t>Year the tonnage refers to</t>
        </is>
      </c>
      <c r="G7" s="7" t="inlineStr">
        <is>
          <t>Tahun data tonase</t>
        </is>
      </c>
    </row>
    <row r="8">
      <c r="A8" s="7" t="inlineStr">
        <is>
          <t>growth_rate</t>
        </is>
      </c>
      <c r="B8" s="8" t="n">
        <v>0.0065</v>
      </c>
      <c r="C8" s="7" t="inlineStr">
        <is>
          <t>1/yr</t>
        </is>
      </c>
      <c r="D8" s="7" t="inlineStr">
        <is>
          <t>no</t>
        </is>
      </c>
      <c r="E8" s="9" t="n">
        <v>0.0065</v>
      </c>
      <c r="F8" s="7" t="inlineStr">
        <is>
          <t>Annual growth of tonnage as a fraction (0.017 = 1.7%/yr); blank = 1.73%/yr default</t>
        </is>
      </c>
      <c r="G8" s="7" t="inlineStr">
        <is>
          <t>Laju pertumbuhan tonase per tahun, pecahan (0,017 = 1,7%/th); kosong = 1,73%/th</t>
        </is>
      </c>
    </row>
    <row r="9">
      <c r="A9" s="7" t="inlineStr">
        <is>
          <t>composition_year</t>
        </is>
      </c>
      <c r="B9" s="8" t="n">
        <v>2023</v>
      </c>
      <c r="C9" s="7" t="inlineStr">
        <is>
          <t>year</t>
        </is>
      </c>
      <c r="D9" s="7" t="inlineStr">
        <is>
          <t>yes</t>
        </is>
      </c>
      <c r="E9" s="9" t="n">
        <v>2023</v>
      </c>
      <c r="F9" s="7" t="inlineStr">
        <is>
          <t>Year the composition was sampled</t>
        </is>
      </c>
      <c r="G9" s="7" t="inlineStr">
        <is>
          <t>Tahun sampling komposisi</t>
        </is>
      </c>
    </row>
    <row r="10">
      <c r="A10" s="7" t="inlineStr">
        <is>
          <t>organik_lumped</t>
        </is>
      </c>
      <c r="B10" s="8" t="inlineStr">
        <is>
          <t>no</t>
        </is>
      </c>
      <c r="C10" s="7" t="inlineStr">
        <is>
          <t>yes/no</t>
        </is>
      </c>
      <c r="D10" s="7" t="inlineStr">
        <is>
          <t>no</t>
        </is>
      </c>
      <c r="E10" s="9" t="inlineStr">
        <is>
          <t>no</t>
        </is>
      </c>
      <c r="F10" s="7" t="inlineStr">
        <is>
          <t>yes if food and garden waste are reported together in sisa_makanan</t>
        </is>
      </c>
      <c r="G10" s="7" t="inlineStr">
        <is>
          <t>yes bila sampah makanan dan daun dilaporkan gabung di sisa_makanan</t>
        </is>
      </c>
    </row>
    <row r="11">
      <c r="A11" s="7" t="inlineStr">
        <is>
          <t>lat</t>
        </is>
      </c>
      <c r="B11" s="8" t="n">
        <v>-0.9492</v>
      </c>
      <c r="C11" s="7" t="inlineStr">
        <is>
          <t>deg</t>
        </is>
      </c>
      <c r="D11" s="7" t="inlineStr">
        <is>
          <t>no</t>
        </is>
      </c>
      <c r="E11" s="9" t="n">
        <v>-0.9492</v>
      </c>
      <c r="F11" s="7" t="inlineStr">
        <is>
          <t>Latitude of the planned facility (decimal degrees, south negative)</t>
        </is>
      </c>
      <c r="G11" s="7" t="inlineStr">
        <is>
          <t>Lintang lokasi fasilitas (desimal, selatan negatif)</t>
        </is>
      </c>
    </row>
    <row r="12">
      <c r="A12" s="7" t="inlineStr">
        <is>
          <t>lon</t>
        </is>
      </c>
      <c r="B12" s="8" t="n">
        <v>100.3543</v>
      </c>
      <c r="C12" s="7" t="inlineStr">
        <is>
          <t>deg</t>
        </is>
      </c>
      <c r="D12" s="7" t="inlineStr">
        <is>
          <t>no</t>
        </is>
      </c>
      <c r="E12" s="9" t="n">
        <v>100.3543</v>
      </c>
      <c r="F12" s="7" t="inlineStr">
        <is>
          <t>Longitude of the planned facility</t>
        </is>
      </c>
      <c r="G12" s="7" t="inlineStr">
        <is>
          <t>Bujur lokasi fasilitas</t>
        </is>
      </c>
    </row>
    <row r="13">
      <c r="A13" s="7" t="inlineStr">
        <is>
          <t>kiln_road_km</t>
        </is>
      </c>
      <c r="B13" s="8" t="inlineStr"/>
      <c r="C13" s="7" t="inlineStr">
        <is>
          <t>km</t>
        </is>
      </c>
      <c r="D13" s="7" t="inlineStr">
        <is>
          <t>no</t>
        </is>
      </c>
      <c r="E13" s="9" t="inlineStr"/>
      <c r="F13" s="7" t="inlineStr">
        <is>
          <t>Road distance to the nearest cement kiln (overrides lat/lon)</t>
        </is>
      </c>
      <c r="G13" s="7" t="inlineStr">
        <is>
          <t>Jarak jalan ke pabrik semen terdekat (menggantikan lat/lon)</t>
        </is>
      </c>
    </row>
    <row r="14">
      <c r="A14" s="7" t="inlineStr">
        <is>
          <t>managed_share</t>
        </is>
      </c>
      <c r="B14" s="8" t="n">
        <v>0.7181999999999999</v>
      </c>
      <c r="C14" s="7" t="inlineStr">
        <is>
          <t>0-1</t>
        </is>
      </c>
      <c r="D14" s="7" t="inlineStr">
        <is>
          <t>no</t>
        </is>
      </c>
      <c r="E14" s="9" t="n">
        <v>0.7181999999999999</v>
      </c>
      <c r="F14" s="7" t="inlineStr">
        <is>
          <t>Share of the waste collected or managed today</t>
        </is>
      </c>
      <c r="G14" s="7" t="inlineStr">
        <is>
          <t>Porsi sampah yang terkelola saat ini</t>
        </is>
      </c>
    </row>
    <row r="15">
      <c r="A15" s="7" t="inlineStr">
        <is>
          <t>managed_share_definition</t>
        </is>
      </c>
      <c r="B15" s="8" t="inlineStr">
        <is>
          <t>waste delivered to the TPA / generation (lower bound; provisional)</t>
        </is>
      </c>
      <c r="C15" s="7" t="inlineStr">
        <is>
          <t>-</t>
        </is>
      </c>
      <c r="D15" s="7" t="inlineStr">
        <is>
          <t>no</t>
        </is>
      </c>
      <c r="E15" s="9" t="inlineStr">
        <is>
          <t>waste delivered to the TPA / generation (lower bound; provisional)</t>
        </is>
      </c>
      <c r="F15" s="7" t="inlineStr">
        <is>
          <t>What the managed share measures</t>
        </is>
      </c>
      <c r="G15" s="7" t="inlineStr">
        <is>
          <t>Definisi indikator terkelola</t>
        </is>
      </c>
    </row>
    <row r="16">
      <c r="A16" s="7" t="inlineStr">
        <is>
          <t>source</t>
        </is>
      </c>
      <c r="B16" s="8" t="inlineStr">
        <is>
          <t>RIPS Kota Padang (domestic and non-domestic composition)</t>
        </is>
      </c>
      <c r="C16" s="7" t="inlineStr">
        <is>
          <t>-</t>
        </is>
      </c>
      <c r="D16" s="7" t="inlineStr">
        <is>
          <t>no</t>
        </is>
      </c>
      <c r="E16" s="9" t="inlineStr">
        <is>
          <t>RIPS Kota Padang (domestic and non-domestic composition)</t>
        </is>
      </c>
      <c r="F16" s="7" t="inlineStr">
        <is>
          <t>Source document and page of these data</t>
        </is>
      </c>
      <c r="G16" s="7" t="inlineStr">
        <is>
          <t>Dokumen sumber dan halaman</t>
        </is>
      </c>
    </row>
    <row r="17">
      <c r="A17" s="7" t="inlineStr">
        <is>
          <t>monte_carlo_draws</t>
        </is>
      </c>
      <c r="B17" s="8" t="n">
        <v>4000</v>
      </c>
      <c r="C17" s="7" t="inlineStr">
        <is>
          <t>-</t>
        </is>
      </c>
      <c r="D17" s="7" t="inlineStr">
        <is>
          <t>no</t>
        </is>
      </c>
      <c r="E17" s="9" t="n">
        <v>4000</v>
      </c>
      <c r="F17" s="7" t="inlineStr">
        <is>
          <t>Number of Monte Carlo draws (blank = 4000)</t>
        </is>
      </c>
      <c r="G17" s="7" t="inlineStr">
        <is>
          <t>Jumlah iterasi Monte Carlo (kosong = 4000)</t>
        </is>
      </c>
    </row>
    <row r="18">
      <c r="A18" s="7" t="inlineStr">
        <is>
          <t>random_seed</t>
        </is>
      </c>
      <c r="B18" s="8" t="n">
        <v>20251</v>
      </c>
      <c r="C18" s="7" t="inlineStr">
        <is>
          <t>-</t>
        </is>
      </c>
      <c r="D18" s="7" t="inlineStr">
        <is>
          <t>no</t>
        </is>
      </c>
      <c r="E18" s="9" t="n">
        <v>20251</v>
      </c>
      <c r="F18" s="7" t="inlineStr">
        <is>
          <t>Random seed for reproducibility (blank = 20251)</t>
        </is>
      </c>
      <c r="G18" s="7" t="inlineStr">
        <is>
          <t>Seed acak agar dapat direproduksi (kosong = 20251)</t>
        </is>
      </c>
    </row>
  </sheetData>
  <dataValidations count="4">
    <dataValidation sqref="B4" showDropDown="0" showInputMessage="0" showErrorMessage="0" allowBlank="0" type="list">
      <formula1>"Jamali,Sumatera,Mahakam"</formula1>
    </dataValidation>
    <dataValidation sqref="B10" showDropDown="0" showInputMessage="0" showErrorMessage="0" allowBlank="1" type="list">
      <formula1>"yes,no"</formula1>
    </dataValidation>
    <dataValidation sqref="B7" showDropDown="0" showInputMessage="0" showErrorMessage="0" allowBlank="0" type="whole" operator="between">
      <formula1>1990</formula1>
      <formula2>2025</formula2>
    </dataValidation>
    <dataValidation sqref="B9" showDropDown="0" showInputMessage="0" showErrorMessage="0" allowBlank="0" type="whole" operator="between">
      <formula1>1990</formula1>
      <formula2>2025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5" customWidth="1" min="4" max="4"/>
    <col width="15" customWidth="1" min="5" max="5"/>
    <col width="17" customWidth="1" min="6" max="6"/>
    <col width="19" customWidth="1" min="7" max="7"/>
    <col width="22" customWidth="1" min="8" max="8"/>
  </cols>
  <sheetData>
    <row r="1">
      <c r="A1" s="6" t="inlineStr">
        <is>
          <t>category</t>
        </is>
      </c>
      <c r="B1" s="6" t="inlineStr">
        <is>
          <t>label_en</t>
        </is>
      </c>
      <c r="C1" s="6" t="inlineStr">
        <is>
          <t>label_id</t>
        </is>
      </c>
      <c r="D1" s="6" t="inlineStr">
        <is>
          <t>model_fraction</t>
        </is>
      </c>
      <c r="E1" s="6" t="inlineStr">
        <is>
          <t>domestic_pct</t>
        </is>
      </c>
      <c r="F1" s="6" t="inlineStr">
        <is>
          <t>nondomestic_pct</t>
        </is>
      </c>
      <c r="G1" s="6" t="inlineStr">
        <is>
          <t>example_domestic_pct</t>
        </is>
      </c>
      <c r="H1" s="6" t="inlineStr">
        <is>
          <t>example_nondomestic_pct</t>
        </is>
      </c>
    </row>
    <row r="2">
      <c r="A2" s="7" t="inlineStr">
        <is>
          <t>sisa_makanan</t>
        </is>
      </c>
      <c r="B2" s="7" t="inlineStr">
        <is>
          <t>food waste</t>
        </is>
      </c>
      <c r="C2" s="7" t="inlineStr">
        <is>
          <t>sisa makanan</t>
        </is>
      </c>
      <c r="D2" s="7" t="inlineStr">
        <is>
          <t>food</t>
        </is>
      </c>
      <c r="E2" s="8" t="n">
        <v>43.95</v>
      </c>
      <c r="F2" s="8" t="n">
        <v>51.56</v>
      </c>
      <c r="G2" s="9" t="n">
        <v>43.95</v>
      </c>
      <c r="H2" s="9" t="n">
        <v>51.56</v>
      </c>
    </row>
    <row r="3">
      <c r="A3" s="7" t="inlineStr">
        <is>
          <t>daun_kering</t>
        </is>
      </c>
      <c r="B3" s="7" t="inlineStr">
        <is>
          <t>garden/leaves</t>
        </is>
      </c>
      <c r="C3" s="7" t="inlineStr">
        <is>
          <t>daun/ranting</t>
        </is>
      </c>
      <c r="D3" s="7" t="inlineStr">
        <is>
          <t>garden</t>
        </is>
      </c>
      <c r="E3" s="8" t="n">
        <v>15.68</v>
      </c>
      <c r="F3" s="8" t="n">
        <v>25.78</v>
      </c>
      <c r="G3" s="9" t="n">
        <v>15.68</v>
      </c>
      <c r="H3" s="9" t="n">
        <v>25.78</v>
      </c>
    </row>
    <row r="4">
      <c r="A4" s="7" t="inlineStr">
        <is>
          <t>kertas_kardus</t>
        </is>
      </c>
      <c r="B4" s="7" t="inlineStr">
        <is>
          <t>paper and cardboard</t>
        </is>
      </c>
      <c r="C4" s="7" t="inlineStr">
        <is>
          <t>kertas dan kardus</t>
        </is>
      </c>
      <c r="D4" s="7" t="inlineStr">
        <is>
          <t>paper</t>
        </is>
      </c>
      <c r="E4" s="8" t="n">
        <v>8.85</v>
      </c>
      <c r="F4" s="8" t="n">
        <v>6.34</v>
      </c>
      <c r="G4" s="9" t="n">
        <v>8.85</v>
      </c>
      <c r="H4" s="9" t="n">
        <v>6.34</v>
      </c>
    </row>
    <row r="5">
      <c r="A5" s="7" t="inlineStr">
        <is>
          <t>kayu</t>
        </is>
      </c>
      <c r="B5" s="7" t="inlineStr">
        <is>
          <t>wood</t>
        </is>
      </c>
      <c r="C5" s="7" t="inlineStr">
        <is>
          <t>kayu</t>
        </is>
      </c>
      <c r="D5" s="7" t="inlineStr">
        <is>
          <t>wood</t>
        </is>
      </c>
      <c r="E5" s="8" t="n">
        <v>0.42</v>
      </c>
      <c r="F5" s="8" t="n">
        <v>0.26</v>
      </c>
      <c r="G5" s="9" t="n">
        <v>0.42</v>
      </c>
      <c r="H5" s="9" t="n">
        <v>0.26</v>
      </c>
    </row>
    <row r="6">
      <c r="A6" s="7" t="inlineStr">
        <is>
          <t>plastik</t>
        </is>
      </c>
      <c r="B6" s="7" t="inlineStr">
        <is>
          <t>plastics</t>
        </is>
      </c>
      <c r="C6" s="7" t="inlineStr">
        <is>
          <t>plastik</t>
        </is>
      </c>
      <c r="D6" s="7" t="inlineStr">
        <is>
          <t>plastic</t>
        </is>
      </c>
      <c r="E6" s="8" t="n">
        <v>19.84</v>
      </c>
      <c r="F6" s="8" t="n">
        <v>9.609999999999999</v>
      </c>
      <c r="G6" s="9" t="n">
        <v>19.84</v>
      </c>
      <c r="H6" s="9" t="n">
        <v>9.609999999999999</v>
      </c>
    </row>
    <row r="7">
      <c r="A7" s="7" t="inlineStr">
        <is>
          <t>logam</t>
        </is>
      </c>
      <c r="B7" s="7" t="inlineStr">
        <is>
          <t>metals</t>
        </is>
      </c>
      <c r="C7" s="7" t="inlineStr">
        <is>
          <t>logam</t>
        </is>
      </c>
      <c r="D7" s="7" t="inlineStr">
        <is>
          <t>metal</t>
        </is>
      </c>
      <c r="E7" s="8" t="n">
        <v>1.3</v>
      </c>
      <c r="F7" s="8" t="n">
        <v>1.36</v>
      </c>
      <c r="G7" s="9" t="n">
        <v>1.3</v>
      </c>
      <c r="H7" s="9" t="n">
        <v>1.36</v>
      </c>
    </row>
    <row r="8">
      <c r="A8" s="7" t="inlineStr">
        <is>
          <t>kain</t>
        </is>
      </c>
      <c r="B8" s="7" t="inlineStr">
        <is>
          <t>textiles</t>
        </is>
      </c>
      <c r="C8" s="7" t="inlineStr">
        <is>
          <t>kain/tekstil</t>
        </is>
      </c>
      <c r="D8" s="7" t="inlineStr">
        <is>
          <t>textile</t>
        </is>
      </c>
      <c r="E8" s="8" t="n">
        <v>1.8</v>
      </c>
      <c r="F8" s="8" t="n">
        <v>0.93</v>
      </c>
      <c r="G8" s="9" t="n">
        <v>1.8</v>
      </c>
      <c r="H8" s="9" t="n">
        <v>0.93</v>
      </c>
    </row>
    <row r="9">
      <c r="A9" s="7" t="inlineStr">
        <is>
          <t>karet_kulit</t>
        </is>
      </c>
      <c r="B9" s="7" t="inlineStr">
        <is>
          <t>rubber and leather</t>
        </is>
      </c>
      <c r="C9" s="7" t="inlineStr">
        <is>
          <t>karet dan kulit</t>
        </is>
      </c>
      <c r="D9" s="7" t="inlineStr">
        <is>
          <t>rubber</t>
        </is>
      </c>
      <c r="E9" s="8" t="n">
        <v>0.27</v>
      </c>
      <c r="F9" s="8" t="n">
        <v>0.26</v>
      </c>
      <c r="G9" s="9" t="n">
        <v>0.27</v>
      </c>
      <c r="H9" s="9" t="n">
        <v>0.26</v>
      </c>
    </row>
    <row r="10">
      <c r="A10" s="7" t="inlineStr">
        <is>
          <t>sterofoam</t>
        </is>
      </c>
      <c r="B10" s="7" t="inlineStr">
        <is>
          <t>styrofoam</t>
        </is>
      </c>
      <c r="C10" s="7" t="inlineStr">
        <is>
          <t>sterofoam</t>
        </is>
      </c>
      <c r="D10" s="7" t="inlineStr">
        <is>
          <t>plastic</t>
        </is>
      </c>
      <c r="E10" s="8" t="n">
        <v>0.22</v>
      </c>
      <c r="F10" s="8" t="n">
        <v>0.54</v>
      </c>
      <c r="G10" s="9" t="n">
        <v>0.22</v>
      </c>
      <c r="H10" s="9" t="n">
        <v>0.54</v>
      </c>
    </row>
    <row r="11">
      <c r="A11" s="7" t="inlineStr">
        <is>
          <t>b3</t>
        </is>
      </c>
      <c r="B11" s="7" t="inlineStr">
        <is>
          <t>household hazardous</t>
        </is>
      </c>
      <c r="C11" s="7" t="inlineStr">
        <is>
          <t>B3 rumah tangga</t>
        </is>
      </c>
      <c r="D11" s="7" t="inlineStr">
        <is>
          <t>other</t>
        </is>
      </c>
      <c r="E11" s="8" t="n">
        <v>0.18</v>
      </c>
      <c r="F11" s="8" t="n">
        <v>0.33</v>
      </c>
      <c r="G11" s="9" t="n">
        <v>0.18</v>
      </c>
      <c r="H11" s="9" t="n">
        <v>0.33</v>
      </c>
    </row>
    <row r="12">
      <c r="A12" s="7" t="inlineStr">
        <is>
          <t>elektronik</t>
        </is>
      </c>
      <c r="B12" s="7" t="inlineStr">
        <is>
          <t>e-waste</t>
        </is>
      </c>
      <c r="C12" s="7" t="inlineStr">
        <is>
          <t>elektronik</t>
        </is>
      </c>
      <c r="D12" s="7" t="inlineStr">
        <is>
          <t>other</t>
        </is>
      </c>
      <c r="E12" s="8" t="n">
        <v>1.09</v>
      </c>
      <c r="F12" s="8" t="n">
        <v>0.17</v>
      </c>
      <c r="G12" s="9" t="n">
        <v>1.09</v>
      </c>
      <c r="H12" s="9" t="n">
        <v>0.17</v>
      </c>
    </row>
    <row r="13">
      <c r="A13" s="7" t="inlineStr">
        <is>
          <t>lain_lain</t>
        </is>
      </c>
      <c r="B13" s="7" t="inlineStr">
        <is>
          <t>other/inert</t>
        </is>
      </c>
      <c r="C13" s="7" t="inlineStr">
        <is>
          <t>lain-lain</t>
        </is>
      </c>
      <c r="D13" s="7" t="inlineStr">
        <is>
          <t>other</t>
        </is>
      </c>
      <c r="E13" s="8" t="n">
        <v>6.41</v>
      </c>
      <c r="F13" s="8" t="n">
        <v>2.85</v>
      </c>
      <c r="G13" s="9" t="n">
        <v>6.41</v>
      </c>
      <c r="H13" s="9" t="n">
        <v>2.85</v>
      </c>
    </row>
    <row r="14">
      <c r="A14" s="7" t="inlineStr">
        <is>
          <t>kaca</t>
        </is>
      </c>
      <c r="B14" s="7" t="inlineStr">
        <is>
          <t>glass</t>
        </is>
      </c>
      <c r="C14" s="7" t="inlineStr">
        <is>
          <t>kaca</t>
        </is>
      </c>
      <c r="D14" s="7" t="inlineStr">
        <is>
          <t>glass</t>
        </is>
      </c>
      <c r="E14" s="8" t="n"/>
      <c r="F14" s="8" t="n"/>
      <c r="G14" s="9" t="n"/>
      <c r="H14" s="9" t="n"/>
    </row>
    <row r="15">
      <c r="A15" s="10" t="inlineStr">
        <is>
          <t>TOTAL</t>
        </is>
      </c>
      <c r="B15" s="10" t="inlineStr">
        <is>
          <t>should be about 100</t>
        </is>
      </c>
      <c r="C15" s="10" t="inlineStr">
        <is>
          <t>harus sekitar 100</t>
        </is>
      </c>
      <c r="D15" s="10" t="inlineStr"/>
      <c r="E15" s="11">
        <f>SUM(E2:E14)</f>
        <v/>
      </c>
      <c r="F15" s="11">
        <f>SUM(F2:F14)</f>
        <v/>
      </c>
      <c r="G15" s="11">
        <f>SUM(G2:G14)</f>
        <v/>
      </c>
      <c r="H15" s="11">
        <f>SUM(H2:H14)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52" customWidth="1" min="3" max="3"/>
    <col width="15" customWidth="1" min="4" max="4"/>
    <col width="14" customWidth="1" min="5" max="5"/>
    <col width="12" customWidth="1" min="6" max="6"/>
    <col width="12" customWidth="1" min="7" max="7"/>
    <col width="13" customWidth="1" min="8" max="8"/>
    <col width="11" customWidth="1" min="9" max="9"/>
    <col width="11" customWidth="1" min="10" max="10"/>
    <col width="30" customWidth="1" min="11" max="11"/>
  </cols>
  <sheetData>
    <row r="1">
      <c r="A1" s="6" t="inlineStr">
        <is>
          <t>key</t>
        </is>
      </c>
      <c r="B1" s="6" t="inlineStr">
        <is>
          <t>group</t>
        </is>
      </c>
      <c r="C1" s="6" t="inlineStr">
        <is>
          <t>meaning</t>
        </is>
      </c>
      <c r="D1" s="6" t="inlineStr">
        <is>
          <t>unit</t>
        </is>
      </c>
      <c r="E1" s="6" t="inlineStr">
        <is>
          <t>default_central</t>
        </is>
      </c>
      <c r="F1" s="6" t="inlineStr">
        <is>
          <t>default_low</t>
        </is>
      </c>
      <c r="G1" s="6" t="inlineStr">
        <is>
          <t>default_high</t>
        </is>
      </c>
      <c r="H1" s="6" t="inlineStr">
        <is>
          <t>your_central</t>
        </is>
      </c>
      <c r="I1" s="6" t="inlineStr">
        <is>
          <t>your_low</t>
        </is>
      </c>
      <c r="J1" s="6" t="inlineStr">
        <is>
          <t>your_high</t>
        </is>
      </c>
      <c r="K1" s="6" t="inlineStr">
        <is>
          <t>your_source</t>
        </is>
      </c>
    </row>
    <row r="2">
      <c r="A2" s="7" t="inlineStr">
        <is>
          <t>cap</t>
        </is>
      </c>
      <c r="B2" s="7" t="inlineStr">
        <is>
          <t>Landfill</t>
        </is>
      </c>
      <c r="C2" s="7" t="inlineStr">
        <is>
          <t>Lifetime landfill-gas collection efficiency, sanitary landfill</t>
        </is>
      </c>
      <c r="D2" s="7" t="inlineStr">
        <is>
          <t>-</t>
        </is>
      </c>
      <c r="E2" s="7" t="n">
        <v>0.5</v>
      </c>
      <c r="F2" s="7" t="n">
        <v>0.2</v>
      </c>
      <c r="G2" s="7" t="n">
        <v>0.8</v>
      </c>
      <c r="H2" s="8" t="n"/>
      <c r="I2" s="8" t="n"/>
      <c r="J2" s="8" t="n"/>
      <c r="K2" s="8" t="inlineStr"/>
    </row>
    <row r="3">
      <c r="A3" s="7" t="inlineStr">
        <is>
          <t>ox</t>
        </is>
      </c>
      <c r="B3" s="7" t="inlineStr">
        <is>
          <t>Landfill</t>
        </is>
      </c>
      <c r="C3" s="7" t="inlineStr">
        <is>
          <t>Oxidation in cover soil, sanitary landfill</t>
        </is>
      </c>
      <c r="D3" s="7" t="inlineStr">
        <is>
          <t>-</t>
        </is>
      </c>
      <c r="E3" s="7" t="n">
        <v>0.1</v>
      </c>
      <c r="F3" s="7" t="n">
        <v>0</v>
      </c>
      <c r="G3" s="7" t="n">
        <v>0.1</v>
      </c>
      <c r="H3" s="8" t="n"/>
      <c r="I3" s="8" t="n"/>
      <c r="J3" s="8" t="n"/>
      <c r="K3" s="8" t="inlineStr"/>
    </row>
    <row r="4">
      <c r="A4" s="7" t="inlineStr">
        <is>
          <t>c_sl</t>
        </is>
      </c>
      <c r="B4" s="7" t="inlineStr">
        <is>
          <t>Landfill</t>
        </is>
      </c>
      <c r="C4" s="7" t="inlineStr">
        <is>
          <t>Full cost of sanitary landfill with gas collection and flare</t>
        </is>
      </c>
      <c r="D4" s="7" t="inlineStr">
        <is>
          <t>USD/t @500 t/d</t>
        </is>
      </c>
      <c r="E4" s="7" t="n">
        <v>20</v>
      </c>
      <c r="F4" s="7" t="n">
        <v>9</v>
      </c>
      <c r="G4" s="7" t="n">
        <v>30</v>
      </c>
      <c r="H4" s="8" t="n"/>
      <c r="I4" s="8" t="n"/>
      <c r="J4" s="8" t="n"/>
      <c r="K4" s="8" t="inlineStr"/>
    </row>
    <row r="5">
      <c r="A5" s="7" t="inlineStr">
        <is>
          <t>c_od</t>
        </is>
      </c>
      <c r="B5" s="7" t="inlineStr">
        <is>
          <t>Landfill</t>
        </is>
      </c>
      <c r="C5" s="7" t="inlineStr">
        <is>
          <t>Cost of operating an open dump</t>
        </is>
      </c>
      <c r="D5" s="7" t="inlineStr">
        <is>
          <t>USD/t</t>
        </is>
      </c>
      <c r="E5" s="7" t="n">
        <v>4</v>
      </c>
      <c r="F5" s="7" t="n">
        <v>2</v>
      </c>
      <c r="G5" s="7" t="n">
        <v>8</v>
      </c>
      <c r="H5" s="8" t="n"/>
      <c r="I5" s="8" t="n"/>
      <c r="J5" s="8" t="n"/>
      <c r="K5" s="8" t="inlineStr"/>
    </row>
    <row r="6">
      <c r="A6" s="7" t="inlineStr">
        <is>
          <t>mcf_od</t>
        </is>
      </c>
      <c r="B6" s="7" t="inlineStr">
        <is>
          <t>Landfill</t>
        </is>
      </c>
      <c r="C6" s="7" t="inlineStr">
        <is>
          <t>Methane correction factor, open dump</t>
        </is>
      </c>
      <c r="D6" s="7" t="inlineStr">
        <is>
          <t>-</t>
        </is>
      </c>
      <c r="E6" s="7" t="n">
        <v>0.8</v>
      </c>
      <c r="F6" s="7" t="n">
        <v>0.4</v>
      </c>
      <c r="G6" s="7" t="n">
        <v>0.8</v>
      </c>
      <c r="H6" s="8" t="n"/>
      <c r="I6" s="8" t="n"/>
      <c r="J6" s="8" t="n"/>
      <c r="K6" s="8" t="inlineStr"/>
    </row>
    <row r="7">
      <c r="A7" s="7" t="inlineStr">
        <is>
          <t>p_el</t>
        </is>
      </c>
      <c r="B7" s="7" t="inlineStr">
        <is>
          <t>Prices</t>
        </is>
      </c>
      <c r="C7" s="7" t="inlineStr">
        <is>
          <t>Market value of electricity (grid generation cost)</t>
        </is>
      </c>
      <c r="D7" s="7" t="inlineStr">
        <is>
          <t>USD/kWh</t>
        </is>
      </c>
      <c r="E7" s="7" t="n">
        <v>0.07000000000000001</v>
      </c>
      <c r="F7" s="7" t="n">
        <v>0.05</v>
      </c>
      <c r="G7" s="7" t="n">
        <v>0.1</v>
      </c>
      <c r="H7" s="8" t="n"/>
      <c r="I7" s="8" t="n"/>
      <c r="J7" s="8" t="n"/>
      <c r="K7" s="8" t="inlineStr"/>
    </row>
    <row r="8">
      <c r="A8" s="7" t="inlineStr">
        <is>
          <t>p_rdf</t>
        </is>
      </c>
      <c r="B8" s="7" t="inlineStr">
        <is>
          <t>Prices</t>
        </is>
      </c>
      <c r="C8" s="7" t="inlineStr">
        <is>
          <t>Price of RDF at kiln gate</t>
        </is>
      </c>
      <c r="D8" s="7" t="inlineStr">
        <is>
          <t>USD/GJ</t>
        </is>
      </c>
      <c r="E8" s="7" t="n">
        <v>1.15</v>
      </c>
      <c r="F8" s="7" t="n">
        <v>0.58</v>
      </c>
      <c r="G8" s="7" t="n">
        <v>1.34</v>
      </c>
      <c r="H8" s="8" t="n"/>
      <c r="I8" s="8" t="n"/>
      <c r="J8" s="8" t="n"/>
      <c r="K8" s="8" t="inlineStr"/>
    </row>
    <row r="9">
      <c r="A9" s="7" t="inlineStr">
        <is>
          <t>c_truck</t>
        </is>
      </c>
      <c r="B9" s="7" t="inlineStr">
        <is>
          <t>Prices</t>
        </is>
      </c>
      <c r="C9" s="7" t="inlineStr">
        <is>
          <t>Cost of trucking RDF</t>
        </is>
      </c>
      <c r="D9" s="7" t="inlineStr">
        <is>
          <t>USD/t-km</t>
        </is>
      </c>
      <c r="E9" s="7" t="n">
        <v>0.1</v>
      </c>
      <c r="F9" s="7" t="n">
        <v>0.05</v>
      </c>
      <c r="G9" s="7" t="n">
        <v>0.15</v>
      </c>
      <c r="H9" s="8" t="n"/>
      <c r="I9" s="8" t="n"/>
      <c r="J9" s="8" t="n"/>
      <c r="K9" s="8" t="inlineStr"/>
    </row>
    <row r="10">
      <c r="A10" s="7" t="inlineStr">
        <is>
          <t>eta_wte</t>
        </is>
      </c>
      <c r="B10" s="7" t="inlineStr">
        <is>
          <t>WtE</t>
        </is>
      </c>
      <c r="C10" s="7" t="inlineStr">
        <is>
          <t>Net electrical efficiency of grate incinerator on low-LHV waste</t>
        </is>
      </c>
      <c r="D10" s="7" t="inlineStr">
        <is>
          <t>-</t>
        </is>
      </c>
      <c r="E10" s="7" t="n">
        <v>0.18</v>
      </c>
      <c r="F10" s="7" t="n">
        <v>0.14</v>
      </c>
      <c r="G10" s="7" t="n">
        <v>0.22</v>
      </c>
      <c r="H10" s="8" t="n"/>
      <c r="I10" s="8" t="n"/>
      <c r="J10" s="8" t="n"/>
      <c r="K10" s="8" t="inlineStr"/>
    </row>
    <row r="11">
      <c r="A11" s="7" t="inlineStr">
        <is>
          <t>K_wte</t>
        </is>
      </c>
      <c r="B11" s="7" t="inlineStr">
        <is>
          <t>WtE</t>
        </is>
      </c>
      <c r="C11" s="7" t="inlineStr">
        <is>
          <t>WtE CAPEX at reference capacity</t>
        </is>
      </c>
      <c r="D11" s="7" t="inlineStr">
        <is>
          <t>USD @1000 t/d</t>
        </is>
      </c>
      <c r="E11" s="7" t="n">
        <v>120000000</v>
      </c>
      <c r="F11" s="7" t="n">
        <v>100000000</v>
      </c>
      <c r="G11" s="7" t="n">
        <v>200000000</v>
      </c>
      <c r="H11" s="8" t="n"/>
      <c r="I11" s="8" t="n"/>
      <c r="J11" s="8" t="n"/>
      <c r="K11" s="8" t="inlineStr"/>
    </row>
    <row r="12">
      <c r="A12" s="7" t="inlineStr">
        <is>
          <t>o_wte</t>
        </is>
      </c>
      <c r="B12" s="7" t="inlineStr">
        <is>
          <t>WtE</t>
        </is>
      </c>
      <c r="C12" s="7" t="inlineStr">
        <is>
          <t>WtE O&amp;M</t>
        </is>
      </c>
      <c r="D12" s="7" t="inlineStr">
        <is>
          <t>USD/t</t>
        </is>
      </c>
      <c r="E12" s="7" t="n">
        <v>27</v>
      </c>
      <c r="F12" s="7" t="n">
        <v>21</v>
      </c>
      <c r="G12" s="7" t="n">
        <v>37</v>
      </c>
      <c r="H12" s="8" t="n"/>
      <c r="I12" s="8" t="n"/>
      <c r="J12" s="8" t="n"/>
      <c r="K12" s="8" t="inlineStr"/>
    </row>
    <row r="13">
      <c r="A13" s="7" t="inlineStr">
        <is>
          <t>K_rdf</t>
        </is>
      </c>
      <c r="B13" s="7" t="inlineStr">
        <is>
          <t>RDF</t>
        </is>
      </c>
      <c r="C13" s="7" t="inlineStr">
        <is>
          <t>RDF plant CAPEX at reference capacity</t>
        </is>
      </c>
      <c r="D13" s="7" t="inlineStr">
        <is>
          <t>USD @300 t/d</t>
        </is>
      </c>
      <c r="E13" s="7" t="n">
        <v>12300000</v>
      </c>
      <c r="F13" s="7" t="n">
        <v>9000000</v>
      </c>
      <c r="G13" s="7" t="n">
        <v>16000000</v>
      </c>
      <c r="H13" s="8" t="n"/>
      <c r="I13" s="8" t="n"/>
      <c r="J13" s="8" t="n"/>
      <c r="K13" s="8" t="inlineStr"/>
    </row>
    <row r="14">
      <c r="A14" s="7" t="inlineStr">
        <is>
          <t>o_rdf</t>
        </is>
      </c>
      <c r="B14" s="7" t="inlineStr">
        <is>
          <t>RDF</t>
        </is>
      </c>
      <c r="C14" s="7" t="inlineStr">
        <is>
          <t>RDF plant O&amp;M</t>
        </is>
      </c>
      <c r="D14" s="7" t="inlineStr">
        <is>
          <t>USD/t</t>
        </is>
      </c>
      <c r="E14" s="7" t="n">
        <v>18.4</v>
      </c>
      <c r="F14" s="7" t="n">
        <v>12</v>
      </c>
      <c r="G14" s="7" t="n">
        <v>24.5</v>
      </c>
      <c r="H14" s="8" t="n"/>
      <c r="I14" s="8" t="n"/>
      <c r="J14" s="8" t="n"/>
      <c r="K14" s="8" t="inlineStr"/>
    </row>
    <row r="15">
      <c r="A15" s="7" t="inlineStr">
        <is>
          <t>tau_k</t>
        </is>
      </c>
      <c r="B15" s="7" t="inlineStr">
        <is>
          <t>RDF</t>
        </is>
      </c>
      <c r="C15" s="7" t="inlineStr">
        <is>
          <t>Multiplier on RDF transfer coefficients</t>
        </is>
      </c>
      <c r="D15" s="7" t="inlineStr">
        <is>
          <t>x</t>
        </is>
      </c>
      <c r="E15" s="7" t="n">
        <v>1</v>
      </c>
      <c r="F15" s="7" t="n">
        <v>0.85</v>
      </c>
      <c r="G15" s="7" t="n">
        <v>1.1</v>
      </c>
      <c r="H15" s="8" t="n"/>
      <c r="I15" s="8" t="n"/>
      <c r="J15" s="8" t="n"/>
      <c r="K15" s="8" t="inlineStr"/>
    </row>
    <row r="16">
      <c r="A16" s="7" t="inlineStr">
        <is>
          <t>omega</t>
        </is>
      </c>
      <c r="B16" s="7" t="inlineStr">
        <is>
          <t>RDF</t>
        </is>
      </c>
      <c r="C16" s="7" t="inlineStr">
        <is>
          <t>Target moisture of RDF (off-taker limit 20-25%)</t>
        </is>
      </c>
      <c r="D16" s="7" t="inlineStr">
        <is>
          <t>-</t>
        </is>
      </c>
      <c r="E16" s="7" t="n">
        <v>0.2</v>
      </c>
      <c r="F16" s="7" t="n">
        <v>0.15</v>
      </c>
      <c r="G16" s="7" t="n">
        <v>0.25</v>
      </c>
      <c r="H16" s="8" t="n"/>
      <c r="I16" s="8" t="n"/>
      <c r="J16" s="8" t="n"/>
      <c r="K16" s="8" t="inlineStr"/>
    </row>
    <row r="17">
      <c r="A17" s="7" t="inlineStr">
        <is>
          <t>kappa</t>
        </is>
      </c>
      <c r="B17" s="7" t="inlineStr">
        <is>
          <t>AD</t>
        </is>
      </c>
      <c r="C17" s="7" t="inlineStr">
        <is>
          <t>Share of food waste captured into the digester</t>
        </is>
      </c>
      <c r="D17" s="7" t="inlineStr">
        <is>
          <t>-</t>
        </is>
      </c>
      <c r="E17" s="7" t="n">
        <v>0.7</v>
      </c>
      <c r="F17" s="7" t="n">
        <v>0.5</v>
      </c>
      <c r="G17" s="7" t="n">
        <v>0.9</v>
      </c>
      <c r="H17" s="8" t="n"/>
      <c r="I17" s="8" t="n"/>
      <c r="J17" s="8" t="n"/>
      <c r="K17" s="8" t="inlineStr"/>
    </row>
    <row r="18">
      <c r="A18" s="7" t="inlineStr">
        <is>
          <t>y_ch4</t>
        </is>
      </c>
      <c r="B18" s="7" t="inlineStr">
        <is>
          <t>AD</t>
        </is>
      </c>
      <c r="C18" s="7" t="inlineStr">
        <is>
          <t>Methane yield of source-separated food waste realised in a digester (BMP-type parameter, not landfill DOCf)</t>
        </is>
      </c>
      <c r="D18" s="7" t="inlineStr">
        <is>
          <t>Nm3 CH4/kg VS</t>
        </is>
      </c>
      <c r="E18" s="7" t="n">
        <v>0.36</v>
      </c>
      <c r="F18" s="7" t="n">
        <v>0.28</v>
      </c>
      <c r="G18" s="7" t="n">
        <v>0.44</v>
      </c>
      <c r="H18" s="8" t="n"/>
      <c r="I18" s="8" t="n"/>
      <c r="J18" s="8" t="n"/>
      <c r="K18" s="8" t="inlineStr"/>
    </row>
    <row r="19">
      <c r="A19" s="7" t="inlineStr">
        <is>
          <t>y_pen_mech</t>
        </is>
      </c>
      <c r="B19" s="7" t="inlineStr">
        <is>
          <t>AD</t>
        </is>
      </c>
      <c r="C19" s="7" t="inlineStr">
        <is>
          <t>Methane yield of food separated mechanically from mixed waste, relative to source-separated food</t>
        </is>
      </c>
      <c r="D19" s="7" t="inlineStr">
        <is>
          <t>-</t>
        </is>
      </c>
      <c r="E19" s="7" t="n">
        <v>0.6</v>
      </c>
      <c r="F19" s="7" t="n">
        <v>0.35</v>
      </c>
      <c r="G19" s="7" t="n">
        <v>0.85</v>
      </c>
      <c r="H19" s="8" t="n"/>
      <c r="I19" s="8" t="n"/>
      <c r="J19" s="8" t="n"/>
      <c r="K19" s="8" t="inlineStr"/>
    </row>
    <row r="20">
      <c r="A20" s="7" t="inlineStr">
        <is>
          <t>pre_ofmsw</t>
        </is>
      </c>
      <c r="B20" s="7" t="inlineStr">
        <is>
          <t>AD</t>
        </is>
      </c>
      <c r="C20" s="7" t="inlineStr">
        <is>
          <t>Extra pre-treatment of mechanically separated food (depackaging, removal of plastics and grit)</t>
        </is>
      </c>
      <c r="D20" s="7" t="inlineStr">
        <is>
          <t>USD/t feed</t>
        </is>
      </c>
      <c r="E20" s="7" t="n">
        <v>5</v>
      </c>
      <c r="F20" s="7" t="n">
        <v>0</v>
      </c>
      <c r="G20" s="7" t="n">
        <v>10</v>
      </c>
      <c r="H20" s="8" t="n"/>
      <c r="I20" s="8" t="n"/>
      <c r="J20" s="8" t="n"/>
      <c r="K20" s="8" t="inlineStr"/>
    </row>
    <row r="21">
      <c r="A21" s="7" t="inlineStr">
        <is>
          <t>K_ad</t>
        </is>
      </c>
      <c r="B21" s="7" t="inlineStr">
        <is>
          <t>AD</t>
        </is>
      </c>
      <c r="C21" s="7" t="inlineStr">
        <is>
          <t>AD plant CAPEX at reference feed capacity</t>
        </is>
      </c>
      <c r="D21" s="7" t="inlineStr">
        <is>
          <t>USD @100 t/d</t>
        </is>
      </c>
      <c r="E21" s="7" t="n">
        <v>7000000</v>
      </c>
      <c r="F21" s="7" t="n">
        <v>4000000</v>
      </c>
      <c r="G21" s="7" t="n">
        <v>14000000</v>
      </c>
      <c r="H21" s="8" t="n"/>
      <c r="I21" s="8" t="n"/>
      <c r="J21" s="8" t="n"/>
      <c r="K21" s="8" t="inlineStr"/>
    </row>
    <row r="22">
      <c r="A22" s="7" t="inlineStr">
        <is>
          <t>o_ad</t>
        </is>
      </c>
      <c r="B22" s="7" t="inlineStr">
        <is>
          <t>AD</t>
        </is>
      </c>
      <c r="C22" s="7" t="inlineStr">
        <is>
          <t>AD plant O&amp;M</t>
        </is>
      </c>
      <c r="D22" s="7" t="inlineStr">
        <is>
          <t>USD/t feed</t>
        </is>
      </c>
      <c r="E22" s="7" t="n">
        <v>14</v>
      </c>
      <c r="F22" s="7" t="n">
        <v>10.6</v>
      </c>
      <c r="G22" s="7" t="n">
        <v>30</v>
      </c>
      <c r="H22" s="8" t="n"/>
      <c r="I22" s="8" t="n"/>
      <c r="J22" s="8" t="n"/>
      <c r="K22" s="8" t="inlineStr"/>
    </row>
    <row r="23">
      <c r="A23" s="7" t="inlineStr">
        <is>
          <t>fug_ad</t>
        </is>
      </c>
      <c r="B23" s="7" t="inlineStr">
        <is>
          <t>AD</t>
        </is>
      </c>
      <c r="C23" s="7" t="inlineStr">
        <is>
          <t>Fugitive methane from the biogas plant (share of methane produced)</t>
        </is>
      </c>
      <c r="D23" s="7" t="inlineStr">
        <is>
          <t>-</t>
        </is>
      </c>
      <c r="E23" s="7" t="n">
        <v>0.05</v>
      </c>
      <c r="F23" s="7" t="n">
        <v>0.01</v>
      </c>
      <c r="G23" s="7" t="n">
        <v>0.1</v>
      </c>
      <c r="H23" s="8" t="n"/>
      <c r="I23" s="8" t="n"/>
      <c r="J23" s="8" t="n"/>
      <c r="K23" s="8" t="inlineStr"/>
    </row>
    <row r="24">
      <c r="A24" s="7" t="inlineStr">
        <is>
          <t>c_phb</t>
        </is>
      </c>
      <c r="B24" s="7" t="inlineStr">
        <is>
          <t>PHB</t>
        </is>
      </c>
      <c r="C24" s="7" t="inlineStr">
        <is>
          <t>PHB production cost excl. methane feedstock</t>
        </is>
      </c>
      <c r="D24" s="7" t="inlineStr">
        <is>
          <t>USD/kg @500 t/a</t>
        </is>
      </c>
      <c r="E24" s="7" t="n">
        <v>6.8</v>
      </c>
      <c r="F24" s="7" t="n">
        <v>4.8</v>
      </c>
      <c r="G24" s="7" t="n">
        <v>9.6</v>
      </c>
      <c r="H24" s="8" t="n"/>
      <c r="I24" s="8" t="n"/>
      <c r="J24" s="8" t="n"/>
      <c r="K24" s="8" t="inlineStr"/>
    </row>
    <row r="25">
      <c r="A25" s="7" t="inlineStr">
        <is>
          <t>p_phb</t>
        </is>
      </c>
      <c r="B25" s="7" t="inlineStr">
        <is>
          <t>PHB</t>
        </is>
      </c>
      <c r="C25" s="7" t="inlineStr">
        <is>
          <t>Selling price of PHB</t>
        </is>
      </c>
      <c r="D25" s="7" t="inlineStr">
        <is>
          <t>USD/kg</t>
        </is>
      </c>
      <c r="E25" s="7" t="n">
        <v>4</v>
      </c>
      <c r="F25" s="7" t="n">
        <v>2.5</v>
      </c>
      <c r="G25" s="7" t="n">
        <v>6</v>
      </c>
      <c r="H25" s="8" t="n"/>
      <c r="I25" s="8" t="n"/>
      <c r="J25" s="8" t="n"/>
      <c r="K25" s="8" t="inlineStr"/>
    </row>
    <row r="26">
      <c r="A26" s="7" t="inlineStr">
        <is>
          <t>r</t>
        </is>
      </c>
      <c r="B26" s="7" t="inlineStr">
        <is>
          <t>Finance</t>
        </is>
      </c>
      <c r="C26" s="7" t="inlineStr">
        <is>
          <t>Real discount rate, same for all pathways</t>
        </is>
      </c>
      <c r="D26" s="7" t="inlineStr">
        <is>
          <t>1/yr</t>
        </is>
      </c>
      <c r="E26" s="7" t="n">
        <v>0.1</v>
      </c>
      <c r="F26" s="7" t="n">
        <v>0.08</v>
      </c>
      <c r="G26" s="7" t="n">
        <v>0.12</v>
      </c>
      <c r="H26" s="8" t="n"/>
      <c r="I26" s="8" t="n"/>
      <c r="J26" s="8" t="n"/>
      <c r="K26" s="8" t="inlineStr"/>
    </row>
    <row r="27">
      <c r="A27" s="7" t="inlineStr">
        <is>
          <t>n</t>
        </is>
      </c>
      <c r="B27" s="7" t="inlineStr">
        <is>
          <t>Finance</t>
        </is>
      </c>
      <c r="C27" s="7" t="inlineStr">
        <is>
          <t>Economic lifetime, same for all pathways</t>
        </is>
      </c>
      <c r="D27" s="7" t="inlineStr">
        <is>
          <t>yr</t>
        </is>
      </c>
      <c r="E27" s="7" t="n">
        <v>20</v>
      </c>
      <c r="F27" s="7" t="n">
        <v>15</v>
      </c>
      <c r="G27" s="7" t="n">
        <v>30</v>
      </c>
      <c r="H27" s="8" t="n"/>
      <c r="I27" s="8" t="n"/>
      <c r="J27" s="8" t="n"/>
      <c r="K27" s="8" t="inlineStr"/>
    </row>
    <row r="28">
      <c r="A28" s="7" t="inlineStr">
        <is>
          <t>gamma</t>
        </is>
      </c>
      <c r="B28" s="7" t="inlineStr">
        <is>
          <t>Composition</t>
        </is>
      </c>
      <c r="C28" s="7" t="inlineStr">
        <is>
          <t>Garden share of lumped 'organik' (median and range of 8 locations reporting both)</t>
        </is>
      </c>
      <c r="D28" s="7" t="inlineStr">
        <is>
          <t>-</t>
        </is>
      </c>
      <c r="E28" s="7" t="n">
        <v>0.27</v>
      </c>
      <c r="F28" s="7" t="n">
        <v>0.04</v>
      </c>
      <c r="G28" s="7" t="n">
        <v>0.62</v>
      </c>
      <c r="H28" s="8" t="n"/>
      <c r="I28" s="8" t="n"/>
      <c r="J28" s="8" t="n"/>
      <c r="K28" s="8" t="inlineStr"/>
    </row>
    <row r="29">
      <c r="A29" s="7" t="inlineStr">
        <is>
          <t>moisture_food</t>
        </is>
      </c>
      <c r="B29" s="7" t="inlineStr">
        <is>
          <t>Waste properties</t>
        </is>
      </c>
      <c r="C29" s="7" t="inlineStr">
        <is>
          <t>Moisture of food as received (wet basis)</t>
        </is>
      </c>
      <c r="D29" s="7" t="inlineStr">
        <is>
          <t>kg water/kg</t>
        </is>
      </c>
      <c r="E29" s="7" t="n">
        <v>0.75</v>
      </c>
      <c r="F29" s="7" t="n">
        <v>0.65</v>
      </c>
      <c r="G29" s="7" t="n">
        <v>0.82</v>
      </c>
      <c r="H29" s="8" t="n"/>
      <c r="I29" s="8" t="n"/>
      <c r="J29" s="8" t="n"/>
      <c r="K29" s="8" t="inlineStr"/>
    </row>
    <row r="30">
      <c r="A30" s="7" t="inlineStr">
        <is>
          <t>moisture_garden</t>
        </is>
      </c>
      <c r="B30" s="7" t="inlineStr">
        <is>
          <t>Waste properties</t>
        </is>
      </c>
      <c r="C30" s="7" t="inlineStr">
        <is>
          <t>Moisture of garden as received (wet basis)</t>
        </is>
      </c>
      <c r="D30" s="7" t="inlineStr">
        <is>
          <t>kg water/kg</t>
        </is>
      </c>
      <c r="E30" s="7" t="n">
        <v>0.55</v>
      </c>
      <c r="F30" s="7" t="n">
        <v>0.4</v>
      </c>
      <c r="G30" s="7" t="n">
        <v>0.65</v>
      </c>
      <c r="H30" s="8" t="n"/>
      <c r="I30" s="8" t="n"/>
      <c r="J30" s="8" t="n"/>
      <c r="K30" s="8" t="inlineStr"/>
    </row>
    <row r="31">
      <c r="A31" s="7" t="inlineStr">
        <is>
          <t>moisture_paper</t>
        </is>
      </c>
      <c r="B31" s="7" t="inlineStr">
        <is>
          <t>Waste properties</t>
        </is>
      </c>
      <c r="C31" s="7" t="inlineStr">
        <is>
          <t>Moisture of paper as received (wet basis)</t>
        </is>
      </c>
      <c r="D31" s="7" t="inlineStr">
        <is>
          <t>kg water/kg</t>
        </is>
      </c>
      <c r="E31" s="7" t="n">
        <v>0.35</v>
      </c>
      <c r="F31" s="7" t="n">
        <v>0.15</v>
      </c>
      <c r="G31" s="7" t="n">
        <v>0.5</v>
      </c>
      <c r="H31" s="8" t="n"/>
      <c r="I31" s="8" t="n"/>
      <c r="J31" s="8" t="n"/>
      <c r="K31" s="8" t="inlineStr"/>
    </row>
    <row r="32">
      <c r="A32" s="7" t="inlineStr">
        <is>
          <t>moisture_wood</t>
        </is>
      </c>
      <c r="B32" s="7" t="inlineStr">
        <is>
          <t>Waste properties</t>
        </is>
      </c>
      <c r="C32" s="7" t="inlineStr">
        <is>
          <t>Moisture of wood as received (wet basis)</t>
        </is>
      </c>
      <c r="D32" s="7" t="inlineStr">
        <is>
          <t>kg water/kg</t>
        </is>
      </c>
      <c r="E32" s="7" t="n">
        <v>0.25</v>
      </c>
      <c r="F32" s="7" t="n">
        <v>0.15</v>
      </c>
      <c r="G32" s="7" t="n">
        <v>0.4</v>
      </c>
      <c r="H32" s="8" t="n"/>
      <c r="I32" s="8" t="n"/>
      <c r="J32" s="8" t="n"/>
      <c r="K32" s="8" t="inlineStr"/>
    </row>
    <row r="33">
      <c r="A33" s="7" t="inlineStr">
        <is>
          <t>moisture_textile</t>
        </is>
      </c>
      <c r="B33" s="7" t="inlineStr">
        <is>
          <t>Waste properties</t>
        </is>
      </c>
      <c r="C33" s="7" t="inlineStr">
        <is>
          <t>Moisture of textile as received (wet basis)</t>
        </is>
      </c>
      <c r="D33" s="7" t="inlineStr">
        <is>
          <t>kg water/kg</t>
        </is>
      </c>
      <c r="E33" s="7" t="n">
        <v>0.35</v>
      </c>
      <c r="F33" s="7" t="n">
        <v>0.15</v>
      </c>
      <c r="G33" s="7" t="n">
        <v>0.5</v>
      </c>
      <c r="H33" s="8" t="n"/>
      <c r="I33" s="8" t="n"/>
      <c r="J33" s="8" t="n"/>
      <c r="K33" s="8" t="inlineStr"/>
    </row>
    <row r="34">
      <c r="A34" s="7" t="inlineStr">
        <is>
          <t>moisture_rubber</t>
        </is>
      </c>
      <c r="B34" s="7" t="inlineStr">
        <is>
          <t>Waste properties</t>
        </is>
      </c>
      <c r="C34" s="7" t="inlineStr">
        <is>
          <t>Moisture of rubber as received (wet basis)</t>
        </is>
      </c>
      <c r="D34" s="7" t="inlineStr">
        <is>
          <t>kg water/kg</t>
        </is>
      </c>
      <c r="E34" s="7" t="n">
        <v>0.15</v>
      </c>
      <c r="F34" s="7" t="n">
        <v>0.05</v>
      </c>
      <c r="G34" s="7" t="n">
        <v>0.25</v>
      </c>
      <c r="H34" s="8" t="n"/>
      <c r="I34" s="8" t="n"/>
      <c r="J34" s="8" t="n"/>
      <c r="K34" s="8" t="inlineStr"/>
    </row>
    <row r="35">
      <c r="A35" s="7" t="inlineStr">
        <is>
          <t>moisture_plastic</t>
        </is>
      </c>
      <c r="B35" s="7" t="inlineStr">
        <is>
          <t>Waste properties</t>
        </is>
      </c>
      <c r="C35" s="7" t="inlineStr">
        <is>
          <t>Moisture of plastic as received (wet basis)</t>
        </is>
      </c>
      <c r="D35" s="7" t="inlineStr">
        <is>
          <t>kg water/kg</t>
        </is>
      </c>
      <c r="E35" s="7" t="n">
        <v>0.22</v>
      </c>
      <c r="F35" s="7" t="n">
        <v>0.05</v>
      </c>
      <c r="G35" s="7" t="n">
        <v>0.35</v>
      </c>
      <c r="H35" s="8" t="n"/>
      <c r="I35" s="8" t="n"/>
      <c r="J35" s="8" t="n"/>
      <c r="K35" s="8" t="inlineStr"/>
    </row>
    <row r="36">
      <c r="A36" s="7" t="inlineStr">
        <is>
          <t>moisture_metal</t>
        </is>
      </c>
      <c r="B36" s="7" t="inlineStr">
        <is>
          <t>Waste properties</t>
        </is>
      </c>
      <c r="C36" s="7" t="inlineStr">
        <is>
          <t>Moisture of metal as received (wet basis)</t>
        </is>
      </c>
      <c r="D36" s="7" t="inlineStr">
        <is>
          <t>kg water/kg</t>
        </is>
      </c>
      <c r="E36" s="7" t="n">
        <v>0.05</v>
      </c>
      <c r="F36" s="7" t="n">
        <v>0.02</v>
      </c>
      <c r="G36" s="7" t="n">
        <v>0.08</v>
      </c>
      <c r="H36" s="8" t="n"/>
      <c r="I36" s="8" t="n"/>
      <c r="J36" s="8" t="n"/>
      <c r="K36" s="8" t="inlineStr"/>
    </row>
    <row r="37">
      <c r="A37" s="7" t="inlineStr">
        <is>
          <t>moisture_glass</t>
        </is>
      </c>
      <c r="B37" s="7" t="inlineStr">
        <is>
          <t>Waste properties</t>
        </is>
      </c>
      <c r="C37" s="7" t="inlineStr">
        <is>
          <t>Moisture of glass as received (wet basis)</t>
        </is>
      </c>
      <c r="D37" s="7" t="inlineStr">
        <is>
          <t>kg water/kg</t>
        </is>
      </c>
      <c r="E37" s="7" t="n">
        <v>0.02</v>
      </c>
      <c r="F37" s="7" t="n">
        <v>0.01</v>
      </c>
      <c r="G37" s="7" t="n">
        <v>0.03</v>
      </c>
      <c r="H37" s="8" t="n"/>
      <c r="I37" s="8" t="n"/>
      <c r="J37" s="8" t="n"/>
      <c r="K37" s="8" t="inlineStr"/>
    </row>
    <row r="38">
      <c r="A38" s="7" t="inlineStr">
        <is>
          <t>moisture_other</t>
        </is>
      </c>
      <c r="B38" s="7" t="inlineStr">
        <is>
          <t>Waste properties</t>
        </is>
      </c>
      <c r="C38" s="7" t="inlineStr">
        <is>
          <t>Moisture of other as received (wet basis)</t>
        </is>
      </c>
      <c r="D38" s="7" t="inlineStr">
        <is>
          <t>kg water/kg</t>
        </is>
      </c>
      <c r="E38" s="7" t="n">
        <v>0.25</v>
      </c>
      <c r="F38" s="7" t="n">
        <v>0.1</v>
      </c>
      <c r="G38" s="7" t="n">
        <v>0.4</v>
      </c>
      <c r="H38" s="8" t="n"/>
      <c r="I38" s="8" t="n"/>
      <c r="J38" s="8" t="n"/>
      <c r="K38" s="8" t="inlineStr"/>
    </row>
    <row r="39">
      <c r="A39" s="7" t="inlineStr">
        <is>
          <t>lhv_dry_food</t>
        </is>
      </c>
      <c r="B39" s="7" t="inlineStr">
        <is>
          <t>Waste properties</t>
        </is>
      </c>
      <c r="C39" s="7" t="inlineStr">
        <is>
          <t>Lower heating value of food, dry matter</t>
        </is>
      </c>
      <c r="D39" s="7" t="inlineStr">
        <is>
          <t>MJ/kg dry</t>
        </is>
      </c>
      <c r="E39" s="7" t="n">
        <v>16.5</v>
      </c>
      <c r="F39" s="7" t="n"/>
      <c r="G39" s="7" t="n"/>
      <c r="H39" s="8" t="n"/>
      <c r="I39" s="8" t="n"/>
      <c r="J39" s="8" t="n"/>
      <c r="K39" s="8" t="inlineStr"/>
    </row>
    <row r="40">
      <c r="A40" s="7" t="inlineStr">
        <is>
          <t>lhv_dry_garden</t>
        </is>
      </c>
      <c r="B40" s="7" t="inlineStr">
        <is>
          <t>Waste properties</t>
        </is>
      </c>
      <c r="C40" s="7" t="inlineStr">
        <is>
          <t>Lower heating value of garden, dry matter</t>
        </is>
      </c>
      <c r="D40" s="7" t="inlineStr">
        <is>
          <t>MJ/kg dry</t>
        </is>
      </c>
      <c r="E40" s="7" t="n">
        <v>16</v>
      </c>
      <c r="F40" s="7" t="n"/>
      <c r="G40" s="7" t="n"/>
      <c r="H40" s="8" t="n"/>
      <c r="I40" s="8" t="n"/>
      <c r="J40" s="8" t="n"/>
      <c r="K40" s="8" t="inlineStr"/>
    </row>
    <row r="41">
      <c r="A41" s="7" t="inlineStr">
        <is>
          <t>lhv_dry_paper</t>
        </is>
      </c>
      <c r="B41" s="7" t="inlineStr">
        <is>
          <t>Waste properties</t>
        </is>
      </c>
      <c r="C41" s="7" t="inlineStr">
        <is>
          <t>Lower heating value of paper, dry matter</t>
        </is>
      </c>
      <c r="D41" s="7" t="inlineStr">
        <is>
          <t>MJ/kg dry</t>
        </is>
      </c>
      <c r="E41" s="7" t="n">
        <v>16</v>
      </c>
      <c r="F41" s="7" t="n"/>
      <c r="G41" s="7" t="n"/>
      <c r="H41" s="8" t="n"/>
      <c r="I41" s="8" t="n"/>
      <c r="J41" s="8" t="n"/>
      <c r="K41" s="8" t="inlineStr"/>
    </row>
    <row r="42">
      <c r="A42" s="7" t="inlineStr">
        <is>
          <t>lhv_dry_wood</t>
        </is>
      </c>
      <c r="B42" s="7" t="inlineStr">
        <is>
          <t>Waste properties</t>
        </is>
      </c>
      <c r="C42" s="7" t="inlineStr">
        <is>
          <t>Lower heating value of wood, dry matter</t>
        </is>
      </c>
      <c r="D42" s="7" t="inlineStr">
        <is>
          <t>MJ/kg dry</t>
        </is>
      </c>
      <c r="E42" s="7" t="n">
        <v>18</v>
      </c>
      <c r="F42" s="7" t="n"/>
      <c r="G42" s="7" t="n"/>
      <c r="H42" s="8" t="n"/>
      <c r="I42" s="8" t="n"/>
      <c r="J42" s="8" t="n"/>
      <c r="K42" s="8" t="inlineStr"/>
    </row>
    <row r="43">
      <c r="A43" s="7" t="inlineStr">
        <is>
          <t>lhv_dry_textile</t>
        </is>
      </c>
      <c r="B43" s="7" t="inlineStr">
        <is>
          <t>Waste properties</t>
        </is>
      </c>
      <c r="C43" s="7" t="inlineStr">
        <is>
          <t>Lower heating value of textile, dry matter</t>
        </is>
      </c>
      <c r="D43" s="7" t="inlineStr">
        <is>
          <t>MJ/kg dry</t>
        </is>
      </c>
      <c r="E43" s="7" t="n">
        <v>18.5</v>
      </c>
      <c r="F43" s="7" t="n"/>
      <c r="G43" s="7" t="n"/>
      <c r="H43" s="8" t="n"/>
      <c r="I43" s="8" t="n"/>
      <c r="J43" s="8" t="n"/>
      <c r="K43" s="8" t="inlineStr"/>
    </row>
    <row r="44">
      <c r="A44" s="7" t="inlineStr">
        <is>
          <t>lhv_dry_rubber</t>
        </is>
      </c>
      <c r="B44" s="7" t="inlineStr">
        <is>
          <t>Waste properties</t>
        </is>
      </c>
      <c r="C44" s="7" t="inlineStr">
        <is>
          <t>Lower heating value of rubber, dry matter</t>
        </is>
      </c>
      <c r="D44" s="7" t="inlineStr">
        <is>
          <t>MJ/kg dry</t>
        </is>
      </c>
      <c r="E44" s="7" t="n">
        <v>23</v>
      </c>
      <c r="F44" s="7" t="n"/>
      <c r="G44" s="7" t="n"/>
      <c r="H44" s="8" t="n"/>
      <c r="I44" s="8" t="n"/>
      <c r="J44" s="8" t="n"/>
      <c r="K44" s="8" t="inlineStr"/>
    </row>
    <row r="45">
      <c r="A45" s="7" t="inlineStr">
        <is>
          <t>lhv_dry_plastic</t>
        </is>
      </c>
      <c r="B45" s="7" t="inlineStr">
        <is>
          <t>Waste properties</t>
        </is>
      </c>
      <c r="C45" s="7" t="inlineStr">
        <is>
          <t>Lower heating value of plastic, dry matter</t>
        </is>
      </c>
      <c r="D45" s="7" t="inlineStr">
        <is>
          <t>MJ/kg dry</t>
        </is>
      </c>
      <c r="E45" s="7" t="n">
        <v>30.5</v>
      </c>
      <c r="F45" s="7" t="n"/>
      <c r="G45" s="7" t="n"/>
      <c r="H45" s="8" t="n"/>
      <c r="I45" s="8" t="n"/>
      <c r="J45" s="8" t="n"/>
      <c r="K45" s="8" t="inlineStr"/>
    </row>
    <row r="46">
      <c r="A46" s="7" t="inlineStr">
        <is>
          <t>lhv_dry_metal</t>
        </is>
      </c>
      <c r="B46" s="7" t="inlineStr">
        <is>
          <t>Waste properties</t>
        </is>
      </c>
      <c r="C46" s="7" t="inlineStr">
        <is>
          <t>Lower heating value of metal, dry matter</t>
        </is>
      </c>
      <c r="D46" s="7" t="inlineStr">
        <is>
          <t>MJ/kg dry</t>
        </is>
      </c>
      <c r="E46" s="7" t="n">
        <v>0</v>
      </c>
      <c r="F46" s="7" t="n"/>
      <c r="G46" s="7" t="n"/>
      <c r="H46" s="8" t="n"/>
      <c r="I46" s="8" t="n"/>
      <c r="J46" s="8" t="n"/>
      <c r="K46" s="8" t="inlineStr"/>
    </row>
    <row r="47">
      <c r="A47" s="7" t="inlineStr">
        <is>
          <t>lhv_dry_glass</t>
        </is>
      </c>
      <c r="B47" s="7" t="inlineStr">
        <is>
          <t>Waste properties</t>
        </is>
      </c>
      <c r="C47" s="7" t="inlineStr">
        <is>
          <t>Lower heating value of glass, dry matter</t>
        </is>
      </c>
      <c r="D47" s="7" t="inlineStr">
        <is>
          <t>MJ/kg dry</t>
        </is>
      </c>
      <c r="E47" s="7" t="n">
        <v>0</v>
      </c>
      <c r="F47" s="7" t="n"/>
      <c r="G47" s="7" t="n"/>
      <c r="H47" s="8" t="n"/>
      <c r="I47" s="8" t="n"/>
      <c r="J47" s="8" t="n"/>
      <c r="K47" s="8" t="inlineStr"/>
    </row>
    <row r="48">
      <c r="A48" s="7" t="inlineStr">
        <is>
          <t>lhv_dry_other</t>
        </is>
      </c>
      <c r="B48" s="7" t="inlineStr">
        <is>
          <t>Waste properties</t>
        </is>
      </c>
      <c r="C48" s="7" t="inlineStr">
        <is>
          <t>Lower heating value of other, dry matter</t>
        </is>
      </c>
      <c r="D48" s="7" t="inlineStr">
        <is>
          <t>MJ/kg dry</t>
        </is>
      </c>
      <c r="E48" s="7" t="n">
        <v>0</v>
      </c>
      <c r="F48" s="7" t="n"/>
      <c r="G48" s="7" t="n"/>
      <c r="H48" s="8" t="n"/>
      <c r="I48" s="8" t="n"/>
      <c r="J48" s="8" t="n"/>
      <c r="K4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2026-10-05T12:16:19Z</dcterms:created>
  <dcterms:modified xsi:type="dcterms:W3CDTF">2026-10-05T12:16:20Z</dcterms:modified>
</cp:coreProperties>
</file>